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anai\Documents\DataAnalytics\preweek-02\"/>
    </mc:Choice>
  </mc:AlternateContent>
  <xr:revisionPtr revIDLastSave="0" documentId="13_ncr:1_{2C8D4D65-B39C-49FF-B030-A825FFC75246}" xr6:coauthVersionLast="47" xr6:coauthVersionMax="47" xr10:uidLastSave="{00000000-0000-0000-0000-000000000000}"/>
  <bookViews>
    <workbookView xWindow="-110" yWindow="-110" windowWidth="19420" windowHeight="11500" activeTab="2" xr2:uid="{1C6180FE-D114-4C91-BC25-13125973D105}"/>
  </bookViews>
  <sheets>
    <sheet name="Store_Data" sheetId="1" r:id="rId1"/>
    <sheet name="Store_Region_Summary" sheetId="2" r:id="rId2"/>
    <sheet name="Store_Category_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2" i="3"/>
  <c r="B5" i="2"/>
  <c r="B4" i="2"/>
  <c r="B3" i="2"/>
  <c r="B2" i="2"/>
</calcChain>
</file>

<file path=xl/sharedStrings.xml><?xml version="1.0" encoding="utf-8"?>
<sst xmlns="http://schemas.openxmlformats.org/spreadsheetml/2006/main" count="56" uniqueCount="31">
  <si>
    <t xml:space="preserve">Store </t>
  </si>
  <si>
    <t xml:space="preserve">Region </t>
  </si>
  <si>
    <t xml:space="preserve">Category </t>
  </si>
  <si>
    <t>Monthly Sales</t>
  </si>
  <si>
    <t>Store A</t>
  </si>
  <si>
    <t>Store B</t>
  </si>
  <si>
    <t>Store C</t>
  </si>
  <si>
    <t>Store D</t>
  </si>
  <si>
    <t>Store E</t>
  </si>
  <si>
    <t>Store F</t>
  </si>
  <si>
    <t>Store G</t>
  </si>
  <si>
    <t>Store H</t>
  </si>
  <si>
    <t>Store J</t>
  </si>
  <si>
    <t>Store I</t>
  </si>
  <si>
    <t>Store K</t>
  </si>
  <si>
    <t>Store L</t>
  </si>
  <si>
    <t>North</t>
  </si>
  <si>
    <t>South</t>
  </si>
  <si>
    <t>East</t>
  </si>
  <si>
    <t>West</t>
  </si>
  <si>
    <t>Apparel</t>
  </si>
  <si>
    <t>Electronics</t>
  </si>
  <si>
    <t>Home Goods</t>
  </si>
  <si>
    <t>Region</t>
  </si>
  <si>
    <t>Total Monthly Sales</t>
  </si>
  <si>
    <t xml:space="preserve">The West region adds the most to the total monthly sales. Because, Store H in the West sold 72 which is way higher than the other stores. That one store is contributing to the total of the regionals and making the West more that the other regions. </t>
  </si>
  <si>
    <t>Category</t>
  </si>
  <si>
    <t xml:space="preserve">The best performing category in the total monthly sales is Electronics. The bar chart compares many categories using a side-by-side view which makes it easy to understands. Looking at the chart, it shows that the Electrionics are leading, and the Apparel and Home Goods are at similar levels </t>
  </si>
  <si>
    <t>1a. Numerical columns: D</t>
  </si>
  <si>
    <t>1b. Categorial columns: A, B, C</t>
  </si>
  <si>
    <t>7. Standing out Store: Store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</si>
</sst>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7" tint="0.3999755851924192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Store_Region_Summary!$B$1</c:f>
              <c:strCache>
                <c:ptCount val="1"/>
                <c:pt idx="0">
                  <c:v>Total Monthly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Store_Region_Summary!$A$2:$A$5</c:f>
              <c:strCache>
                <c:ptCount val="4"/>
                <c:pt idx="0">
                  <c:v>North</c:v>
                </c:pt>
                <c:pt idx="1">
                  <c:v>South</c:v>
                </c:pt>
                <c:pt idx="2">
                  <c:v>East</c:v>
                </c:pt>
                <c:pt idx="3">
                  <c:v>West</c:v>
                </c:pt>
              </c:strCache>
            </c:strRef>
          </c:cat>
          <c:val>
            <c:numRef>
              <c:f>Store_Region_Summary!$B$2:$B$5</c:f>
              <c:numCache>
                <c:formatCode>General</c:formatCode>
                <c:ptCount val="4"/>
                <c:pt idx="0">
                  <c:v>138</c:v>
                </c:pt>
                <c:pt idx="1">
                  <c:v>143</c:v>
                </c:pt>
                <c:pt idx="2">
                  <c:v>145</c:v>
                </c:pt>
                <c:pt idx="3">
                  <c:v>167</c:v>
                </c:pt>
              </c:numCache>
            </c:numRef>
          </c:val>
          <c:extLst>
            <c:ext xmlns:c16="http://schemas.microsoft.com/office/drawing/2014/chart" uri="{C3380CC4-5D6E-409C-BE32-E72D297353CC}">
              <c16:uniqueId val="{00000000-C527-479C-AA58-D6AB61853C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Store_Category_Summary!$B$1</c:f>
              <c:strCache>
                <c:ptCount val="1"/>
                <c:pt idx="0">
                  <c:v>Total Monthly Sales</c:v>
                </c:pt>
              </c:strCache>
            </c:strRef>
          </c:tx>
          <c:spPr>
            <a:solidFill>
              <a:schemeClr val="accent1"/>
            </a:solidFill>
            <a:ln>
              <a:noFill/>
            </a:ln>
            <a:effectLst/>
          </c:spPr>
          <c:invertIfNegative val="0"/>
          <c:cat>
            <c:strRef>
              <c:f>Store_Category_Summary!$A$2:$A$4</c:f>
              <c:strCache>
                <c:ptCount val="3"/>
                <c:pt idx="0">
                  <c:v>Apparel</c:v>
                </c:pt>
                <c:pt idx="1">
                  <c:v>Electronics</c:v>
                </c:pt>
                <c:pt idx="2">
                  <c:v>Home Goods</c:v>
                </c:pt>
              </c:strCache>
            </c:strRef>
          </c:cat>
          <c:val>
            <c:numRef>
              <c:f>Store_Category_Summary!$B$2:$B$4</c:f>
              <c:numCache>
                <c:formatCode>General</c:formatCode>
                <c:ptCount val="3"/>
                <c:pt idx="0">
                  <c:v>195</c:v>
                </c:pt>
                <c:pt idx="1">
                  <c:v>218</c:v>
                </c:pt>
                <c:pt idx="2">
                  <c:v>180</c:v>
                </c:pt>
              </c:numCache>
            </c:numRef>
          </c:val>
          <c:extLst>
            <c:ext xmlns:c16="http://schemas.microsoft.com/office/drawing/2014/chart" uri="{C3380CC4-5D6E-409C-BE32-E72D297353CC}">
              <c16:uniqueId val="{00000000-BA6C-4EEC-AFA0-E29BB18028E7}"/>
            </c:ext>
          </c:extLst>
        </c:ser>
        <c:dLbls>
          <c:showLegendKey val="0"/>
          <c:showVal val="0"/>
          <c:showCatName val="0"/>
          <c:showSerName val="0"/>
          <c:showPercent val="0"/>
          <c:showBubbleSize val="0"/>
        </c:dLbls>
        <c:gapWidth val="219"/>
        <c:overlap val="-27"/>
        <c:axId val="1204614847"/>
        <c:axId val="1204616767"/>
      </c:barChart>
      <c:catAx>
        <c:axId val="12046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16767"/>
        <c:crosses val="autoZero"/>
        <c:auto val="1"/>
        <c:lblAlgn val="ctr"/>
        <c:lblOffset val="100"/>
        <c:noMultiLvlLbl val="0"/>
      </c:catAx>
      <c:valAx>
        <c:axId val="120461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1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152400</xdr:rowOff>
    </xdr:from>
    <xdr:to>
      <xdr:col>6</xdr:col>
      <xdr:colOff>381000</xdr:colOff>
      <xdr:row>20</xdr:row>
      <xdr:rowOff>133350</xdr:rowOff>
    </xdr:to>
    <xdr:graphicFrame macro="">
      <xdr:nvGraphicFramePr>
        <xdr:cNvPr id="4" name="Chart 3">
          <a:extLst>
            <a:ext uri="{FF2B5EF4-FFF2-40B4-BE49-F238E27FC236}">
              <a16:creationId xmlns:a16="http://schemas.microsoft.com/office/drawing/2014/main" id="{B2B9B136-E6B8-9C41-843D-128801D55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523875</xdr:colOff>
      <xdr:row>4</xdr:row>
      <xdr:rowOff>82550</xdr:rowOff>
    </xdr:from>
    <xdr:to>
      <xdr:col>7</xdr:col>
      <xdr:colOff>9525</xdr:colOff>
      <xdr:row>19</xdr:row>
      <xdr:rowOff>63500</xdr:rowOff>
    </xdr:to>
    <xdr:graphicFrame macro="">
      <xdr:nvGraphicFramePr>
        <xdr:cNvPr id="2" name="Chart 1">
          <a:extLst>
            <a:ext uri="{FF2B5EF4-FFF2-40B4-BE49-F238E27FC236}">
              <a16:creationId xmlns:a16="http://schemas.microsoft.com/office/drawing/2014/main" id="{66E05A08-210D-0349-3D14-679216683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0EA61-4163-4990-830F-323D08F0AF85}">
  <dimension ref="A1:E17"/>
  <sheetViews>
    <sheetView workbookViewId="0">
      <selection activeCell="F12" sqref="F12"/>
    </sheetView>
  </sheetViews>
  <sheetFormatPr defaultRowHeight="14.5" x14ac:dyDescent="0.35"/>
  <cols>
    <col min="3" max="3" width="13.26953125" customWidth="1"/>
    <col min="4" max="4" width="14.36328125" customWidth="1"/>
    <col min="5" max="5" width="28.1796875" customWidth="1"/>
  </cols>
  <sheetData>
    <row r="1" spans="1:5" ht="32.5" customHeight="1" x14ac:dyDescent="0.35">
      <c r="A1" t="s">
        <v>0</v>
      </c>
      <c r="B1" t="s">
        <v>1</v>
      </c>
      <c r="C1" t="s">
        <v>2</v>
      </c>
      <c r="D1" t="s">
        <v>3</v>
      </c>
    </row>
    <row r="2" spans="1:5" x14ac:dyDescent="0.35">
      <c r="A2" t="s">
        <v>11</v>
      </c>
      <c r="B2" t="s">
        <v>19</v>
      </c>
      <c r="C2" t="s">
        <v>21</v>
      </c>
      <c r="D2">
        <v>72</v>
      </c>
    </row>
    <row r="3" spans="1:5" x14ac:dyDescent="0.35">
      <c r="A3" t="s">
        <v>8</v>
      </c>
      <c r="B3" t="s">
        <v>18</v>
      </c>
      <c r="C3" t="s">
        <v>21</v>
      </c>
      <c r="D3">
        <v>52</v>
      </c>
    </row>
    <row r="4" spans="1:5" x14ac:dyDescent="0.35">
      <c r="A4" t="s">
        <v>4</v>
      </c>
      <c r="B4" t="s">
        <v>16</v>
      </c>
      <c r="C4" t="s">
        <v>20</v>
      </c>
      <c r="D4">
        <v>51</v>
      </c>
    </row>
    <row r="5" spans="1:5" x14ac:dyDescent="0.35">
      <c r="A5" t="s">
        <v>15</v>
      </c>
      <c r="B5" t="s">
        <v>19</v>
      </c>
      <c r="C5" t="s">
        <v>21</v>
      </c>
      <c r="D5">
        <v>50</v>
      </c>
    </row>
    <row r="6" spans="1:5" x14ac:dyDescent="0.35">
      <c r="A6" t="s">
        <v>6</v>
      </c>
      <c r="B6" t="s">
        <v>17</v>
      </c>
      <c r="C6" t="s">
        <v>20</v>
      </c>
      <c r="D6">
        <v>49</v>
      </c>
    </row>
    <row r="7" spans="1:5" x14ac:dyDescent="0.35">
      <c r="A7" t="s">
        <v>12</v>
      </c>
      <c r="B7" t="s">
        <v>17</v>
      </c>
      <c r="C7" t="s">
        <v>20</v>
      </c>
      <c r="D7">
        <v>48</v>
      </c>
    </row>
    <row r="8" spans="1:5" x14ac:dyDescent="0.35">
      <c r="A8" t="s">
        <v>9</v>
      </c>
      <c r="B8" t="s">
        <v>18</v>
      </c>
      <c r="C8" t="s">
        <v>20</v>
      </c>
      <c r="D8">
        <v>47</v>
      </c>
    </row>
    <row r="9" spans="1:5" x14ac:dyDescent="0.35">
      <c r="A9" t="s">
        <v>7</v>
      </c>
      <c r="B9" t="s">
        <v>17</v>
      </c>
      <c r="C9" t="s">
        <v>22</v>
      </c>
      <c r="D9">
        <v>46</v>
      </c>
    </row>
    <row r="10" spans="1:5" x14ac:dyDescent="0.35">
      <c r="A10" t="s">
        <v>14</v>
      </c>
      <c r="B10" t="s">
        <v>18</v>
      </c>
      <c r="C10" t="s">
        <v>22</v>
      </c>
      <c r="D10">
        <v>46</v>
      </c>
    </row>
    <row r="11" spans="1:5" x14ac:dyDescent="0.35">
      <c r="A11" t="s">
        <v>10</v>
      </c>
      <c r="B11" t="s">
        <v>19</v>
      </c>
      <c r="C11" t="s">
        <v>22</v>
      </c>
      <c r="D11">
        <v>45</v>
      </c>
    </row>
    <row r="12" spans="1:5" x14ac:dyDescent="0.35">
      <c r="A12" t="s">
        <v>5</v>
      </c>
      <c r="B12" t="s">
        <v>16</v>
      </c>
      <c r="C12" t="s">
        <v>21</v>
      </c>
      <c r="D12">
        <v>44</v>
      </c>
    </row>
    <row r="13" spans="1:5" x14ac:dyDescent="0.35">
      <c r="A13" t="s">
        <v>13</v>
      </c>
      <c r="B13" t="s">
        <v>16</v>
      </c>
      <c r="C13" t="s">
        <v>22</v>
      </c>
      <c r="D13">
        <v>43</v>
      </c>
    </row>
    <row r="15" spans="1:5" x14ac:dyDescent="0.35">
      <c r="E15" s="3" t="s">
        <v>28</v>
      </c>
    </row>
    <row r="16" spans="1:5" x14ac:dyDescent="0.35">
      <c r="E16" s="4" t="s">
        <v>29</v>
      </c>
    </row>
    <row r="17" spans="5:5" x14ac:dyDescent="0.35">
      <c r="E17" s="5" t="s">
        <v>30</v>
      </c>
    </row>
  </sheetData>
  <sortState xmlns:xlrd2="http://schemas.microsoft.com/office/spreadsheetml/2017/richdata2" ref="A2:D13">
    <sortCondition descending="1" ref="D2:D1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0930-5853-4A27-941A-66FF8B8A4D25}">
  <dimension ref="A1:I6"/>
  <sheetViews>
    <sheetView workbookViewId="0">
      <selection activeCell="I6" sqref="I6"/>
    </sheetView>
  </sheetViews>
  <sheetFormatPr defaultRowHeight="14.5" x14ac:dyDescent="0.35"/>
  <cols>
    <col min="2" max="2" width="16.36328125" bestFit="1" customWidth="1"/>
    <col min="9" max="9" width="40" customWidth="1"/>
  </cols>
  <sheetData>
    <row r="1" spans="1:9" x14ac:dyDescent="0.35">
      <c r="A1" t="s">
        <v>23</v>
      </c>
      <c r="B1" t="s">
        <v>24</v>
      </c>
    </row>
    <row r="2" spans="1:9" x14ac:dyDescent="0.35">
      <c r="A2" t="s">
        <v>16</v>
      </c>
      <c r="B2">
        <f>SUMIF(Store_Data!B:B, "North",Store_Data!D:D)</f>
        <v>138</v>
      </c>
      <c r="D2" s="1"/>
    </row>
    <row r="3" spans="1:9" x14ac:dyDescent="0.35">
      <c r="A3" t="s">
        <v>17</v>
      </c>
      <c r="B3">
        <f>SUMIF(Store_Data!B:B, "South",Store_Data!D:D)</f>
        <v>143</v>
      </c>
    </row>
    <row r="4" spans="1:9" x14ac:dyDescent="0.35">
      <c r="A4" t="s">
        <v>18</v>
      </c>
      <c r="B4">
        <f>SUMIF(Store_Data!B:B,"East",Store_Data!D:D)</f>
        <v>145</v>
      </c>
    </row>
    <row r="5" spans="1:9" x14ac:dyDescent="0.35">
      <c r="A5" t="s">
        <v>19</v>
      </c>
      <c r="B5">
        <f>SUMIF(Store_Data!B:B,"West",Store_Data!D:D)</f>
        <v>167</v>
      </c>
    </row>
    <row r="6" spans="1:9" ht="122" customHeight="1" x14ac:dyDescent="0.35">
      <c r="I6" s="2" t="s">
        <v>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3650-2B1B-4962-8B2C-D419A5811FD4}">
  <dimension ref="A1:B21"/>
  <sheetViews>
    <sheetView tabSelected="1" workbookViewId="0">
      <selection activeCell="H9" sqref="H9"/>
    </sheetView>
  </sheetViews>
  <sheetFormatPr defaultRowHeight="14.5" x14ac:dyDescent="0.35"/>
  <cols>
    <col min="1" max="1" width="34.7265625" customWidth="1"/>
    <col min="2" max="2" width="17.453125" customWidth="1"/>
  </cols>
  <sheetData>
    <row r="1" spans="1:2" x14ac:dyDescent="0.35">
      <c r="A1" t="s">
        <v>26</v>
      </c>
      <c r="B1" t="s">
        <v>24</v>
      </c>
    </row>
    <row r="2" spans="1:2" x14ac:dyDescent="0.35">
      <c r="A2" t="s">
        <v>20</v>
      </c>
      <c r="B2">
        <f>SUMIF(Store_Data!C:C,"Apparel",Store_Data!D:D)</f>
        <v>195</v>
      </c>
    </row>
    <row r="3" spans="1:2" x14ac:dyDescent="0.35">
      <c r="A3" t="s">
        <v>21</v>
      </c>
      <c r="B3">
        <f>SUMIF(Store_Data!C:C,"Electronics",Store_Data!D:D)</f>
        <v>218</v>
      </c>
    </row>
    <row r="4" spans="1:2" x14ac:dyDescent="0.35">
      <c r="A4" t="s">
        <v>22</v>
      </c>
      <c r="B4">
        <f>SUMIF(Store_Data!C:C,"Home Goods",Store_Data!D:D)</f>
        <v>180</v>
      </c>
    </row>
    <row r="21" spans="1:1" ht="130.5" x14ac:dyDescent="0.35">
      <c r="A21" s="2" t="s">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nwaobi</dc:creator>
  <cp:lastModifiedBy>ivana nwaobi</cp:lastModifiedBy>
  <dcterms:created xsi:type="dcterms:W3CDTF">2026-04-01T02:26:54Z</dcterms:created>
  <dcterms:modified xsi:type="dcterms:W3CDTF">2026-04-01T03:46:29Z</dcterms:modified>
</cp:coreProperties>
</file>